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ee2eeabb9d2a41c/Studium/PMT1/1_Klatschsensor/"/>
    </mc:Choice>
  </mc:AlternateContent>
  <xr:revisionPtr revIDLastSave="42" documentId="13_ncr:20001_{05CE9545-502A-4832-88C4-B7AA6F2AFFD6}" xr6:coauthVersionLast="47" xr6:coauthVersionMax="47" xr10:uidLastSave="{E1672BE4-49D9-481B-8F66-762473E792F5}"/>
  <bookViews>
    <workbookView xWindow="-120" yWindow="-120" windowWidth="29040" windowHeight="15720" activeTab="2" xr2:uid="{00000000-000D-0000-FFFF-FFFF00000000}"/>
  </bookViews>
  <sheets>
    <sheet name="Messprotokoll V1" sheetId="1" r:id="rId1"/>
    <sheet name="tau" sheetId="3" r:id="rId2"/>
    <sheet name="Inverting OpAmp" sheetId="2" r:id="rId3"/>
  </sheets>
  <definedNames>
    <definedName name="_xlnm.Print_Area" localSheetId="0">'Messprotokoll V1'!$A$1:$G$38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H7" i="2"/>
  <c r="I7" i="2"/>
  <c r="B7" i="2"/>
  <c r="C6" i="2"/>
  <c r="D6" i="2"/>
  <c r="E6" i="2"/>
  <c r="F6" i="2"/>
  <c r="G6" i="2"/>
  <c r="H6" i="2"/>
  <c r="I6" i="2"/>
  <c r="B6" i="2"/>
  <c r="B5" i="2"/>
  <c r="D5" i="2"/>
  <c r="E5" i="2"/>
  <c r="F5" i="2"/>
  <c r="G5" i="2"/>
  <c r="H5" i="2"/>
  <c r="I5" i="2"/>
  <c r="C5" i="2"/>
  <c r="I4" i="2"/>
  <c r="H4" i="2"/>
  <c r="G4" i="2"/>
  <c r="F4" i="2"/>
  <c r="E4" i="2"/>
  <c r="D4" i="2"/>
  <c r="C4" i="2"/>
  <c r="B4" i="2"/>
  <c r="C37" i="1"/>
  <c r="D37" i="1"/>
  <c r="E37" i="1"/>
  <c r="G37" i="1"/>
  <c r="I37" i="1"/>
  <c r="J37" i="1"/>
  <c r="K37" i="1"/>
  <c r="B37" i="1"/>
  <c r="D29" i="1"/>
</calcChain>
</file>

<file path=xl/sharedStrings.xml><?xml version="1.0" encoding="utf-8"?>
<sst xmlns="http://schemas.openxmlformats.org/spreadsheetml/2006/main" count="99" uniqueCount="83">
  <si>
    <t>Fakultät Elektro- und Informationstechnik – Praktikum Messtechnik</t>
  </si>
  <si>
    <t>Versuchsgruppe:</t>
  </si>
  <si>
    <t>Vorbereitung</t>
  </si>
  <si>
    <t>R3 = 56 kΩ</t>
  </si>
  <si>
    <t>R5 = 180 kΩ</t>
  </si>
  <si>
    <t>2 U-Quellen in Reihe mit je 10V =&gt; -10V, 0V und +10V abgreifen</t>
  </si>
  <si>
    <t>Erst überprüfen lassen</t>
  </si>
  <si>
    <t>1. Klatschsignal</t>
  </si>
  <si>
    <t>S1 auf obere Stellung (Mikrofon)</t>
  </si>
  <si>
    <t>Oszi an Messbuchse "Audiosignal"</t>
  </si>
  <si>
    <t>Spannungsauflösung von 200mV, Zeitbasis von 1ms und eine Triggerschwelle von 40mV, single Trigger</t>
  </si>
  <si>
    <t>2x Frequenz mit Cursor bestimmen, bei 2 unterschiedlichen Abständen zum Mikro beim Klatschen</t>
  </si>
  <si>
    <t>Größe</t>
  </si>
  <si>
    <t>Schwingungen [1]</t>
  </si>
  <si>
    <t>Zeit T [s]</t>
  </si>
  <si>
    <t>Frequenz [Hz]</t>
  </si>
  <si>
    <t>Bemerkung</t>
  </si>
  <si>
    <t>f1</t>
  </si>
  <si>
    <t>f2</t>
  </si>
  <si>
    <t>f</t>
  </si>
  <si>
    <t>Umbau</t>
  </si>
  <si>
    <t>S1 auf untere Stellung (BNC), Funktionsgenerator verbinden</t>
  </si>
  <si>
    <t>Sinus, 3kHz, Amplitude 300 mVpp, Burst(Cycles: 1, Phase 0°, Period 1s, Delay 0, Trigger internal), Output ein</t>
  </si>
  <si>
    <t>Signal am Oszilloskop überprüfen (FG dazu direkt am Oszi anschließen)
(Trigger: Typ Flanke, Quelle Ch1, Flanke Positiv, Modus Normal, Kopplung DC, Triggerschwelle 85mV, Kanalauflösung: 50mV/Div., 250µs/Div.)</t>
  </si>
  <si>
    <t>2. Invertierender Verstärker</t>
  </si>
  <si>
    <t>Oszi: CH1: Audiosignal, CH2 Verstärkerausgang</t>
  </si>
  <si>
    <t>Messgröße</t>
  </si>
  <si>
    <t>Spannung [V]</t>
  </si>
  <si>
    <t>Verstärkung</t>
  </si>
  <si>
    <t>u_Audio</t>
  </si>
  <si>
    <t>u_Amp</t>
  </si>
  <si>
    <t>Spannungsquelle abschalten bei Widerstandswechsel</t>
  </si>
  <si>
    <t>R3 [kΩ]</t>
  </si>
  <si>
    <t>u_Audio [V]</t>
  </si>
  <si>
    <t>u_Amp [V]</t>
  </si>
  <si>
    <t>3. Einweggleichrichtung</t>
  </si>
  <si>
    <t>CH1: Verstärkerausgang, CH2: Gleichgerichtetes</t>
  </si>
  <si>
    <t>CSV-Datei</t>
  </si>
  <si>
    <t xml:space="preserve"> Warum ist die Amplitude nach der Diode kleiner?</t>
  </si>
  <si>
    <t>Warum fällt das Signal nach der Diode „augenscheinlich“ nicht auf 0V ab?</t>
  </si>
  <si>
    <t>4. Diodenspannung</t>
  </si>
  <si>
    <t>CH1: +"Verstärkerausgang", -"Gleichgerichtetes"</t>
  </si>
  <si>
    <t>5. Lade-/Entladekennlinie</t>
  </si>
  <si>
    <t>Funktionsgenerator: Vpp=3V, Burst-Periode: 3s</t>
  </si>
  <si>
    <t>CH1: Komparatoreingang</t>
  </si>
  <si>
    <t>tau [s]</t>
  </si>
  <si>
    <t>(Aus Oszi)</t>
  </si>
  <si>
    <t>R5 [kΩ]</t>
  </si>
  <si>
    <t>unendlich</t>
  </si>
  <si>
    <t>Als Nebenbetrachtung verkleinern Sie die Zeitbasis auf 25µs/Div und betrachten Sie die Ladekurve des Kondensators.</t>
  </si>
  <si>
    <t>6. Komparatorausgang</t>
  </si>
  <si>
    <t>CH1: Entladekurve C, CH2: Komparatorausgang</t>
  </si>
  <si>
    <t>Versuchsnummer V1 -Klatschsensor</t>
  </si>
  <si>
    <t>5kHz</t>
  </si>
  <si>
    <t>600mu</t>
  </si>
  <si>
    <t>1,67k</t>
  </si>
  <si>
    <t>3,335k</t>
  </si>
  <si>
    <t>Amplitude [V]</t>
  </si>
  <si>
    <t>Bild/CSV</t>
  </si>
  <si>
    <t>nur 200mu s/div</t>
  </si>
  <si>
    <t>x</t>
  </si>
  <si>
    <t>Kondensator 0,47mu und R=180k</t>
  </si>
  <si>
    <t>zoom</t>
  </si>
  <si>
    <t>Du=840mV</t>
  </si>
  <si>
    <t>math</t>
  </si>
  <si>
    <t>,da 0,33 u/div =1,22V</t>
  </si>
  <si>
    <t>76ms</t>
  </si>
  <si>
    <t>tau [ms]</t>
  </si>
  <si>
    <t>U_D</t>
  </si>
  <si>
    <t>Kurzschluss über Oszi-&gt;Erde-&gt;Funktionsgenerator-&gt;Masse</t>
  </si>
  <si>
    <t>Stattdessen Messung mit 2 Kanälen oder getrennten Erden (z.B. Trenntrafo)</t>
  </si>
  <si>
    <t>1 MOhm gegen Masse des Oszis Parallel zum Widerstand R5</t>
  </si>
  <si>
    <t>Verschiebung der Abschaltspannung des Komparators (unerklärt)</t>
  </si>
  <si>
    <t>Der OV läuft nicht nach Datenblatt da R_L &lt; 2kOhm --&gt; unklares Verhalten in der Zukunft (Produzent könnte das Verhalten ändern bei gleichem Datenblatt; bei hohen Verstärkungen kann die notwenige Leidtung nicht geliefert werden --&gt; Spannung bricht leicht ein steigt aber doch dann wieder weil Kondesnator weniger Strom zeiht (max 20mA)</t>
  </si>
  <si>
    <t>Versuch dazu da, dass in weiteren Verlauf eine durschschnittliche Freqeunz und Amplitude gewählt wird um das System passend zu analysieren</t>
  </si>
  <si>
    <t>theoretische Verstärkung</t>
  </si>
  <si>
    <t>gemessene Verstärkung</t>
  </si>
  <si>
    <t>gemessene Verstärkung in dB</t>
  </si>
  <si>
    <t>theoretische Verstärkung in dB</t>
  </si>
  <si>
    <t>R5</t>
  </si>
  <si>
    <t>tau</t>
  </si>
  <si>
    <t>tau_corrected</t>
  </si>
  <si>
    <t>R_5_corrected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</si>
</sst>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"/>
    <numFmt numFmtId="166" formatCode="#,##0.000000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rgb="FF000000"/>
      <name val="Calibri"/>
      <family val="2"/>
    </font>
    <font>
      <sz val="11"/>
      <color rgb="FFFF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theme="9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59595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D9F1"/>
      </patternFill>
    </fill>
    <fill>
      <patternFill patternType="solid">
        <fgColor rgb="FFBDD7EE"/>
      </patternFill>
    </fill>
    <fill>
      <patternFill patternType="solid">
        <fgColor rgb="FF7F7F7F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2" fillId="0" borderId="1"/>
    <xf numFmtId="0" fontId="12" fillId="0" borderId="1"/>
  </cellStyleXfs>
  <cellXfs count="69">
    <xf numFmtId="0" fontId="0" fillId="0" borderId="0" xfId="0"/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left" wrapText="1"/>
    </xf>
    <xf numFmtId="3" fontId="0" fillId="0" borderId="0" xfId="0" applyNumberFormat="1" applyAlignment="1">
      <alignment wrapText="1"/>
    </xf>
    <xf numFmtId="3" fontId="2" fillId="0" borderId="1" xfId="0" applyNumberFormat="1" applyFont="1" applyBorder="1" applyAlignment="1">
      <alignment horizontal="left" wrapText="1"/>
    </xf>
    <xf numFmtId="0" fontId="0" fillId="0" borderId="0" xfId="0" applyAlignment="1"/>
    <xf numFmtId="3" fontId="0" fillId="0" borderId="0" xfId="0" applyNumberFormat="1" applyAlignment="1"/>
    <xf numFmtId="0" fontId="3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0" fontId="3" fillId="3" borderId="3" xfId="0" applyFont="1" applyFill="1" applyBorder="1" applyAlignment="1">
      <alignment horizontal="center" wrapText="1"/>
    </xf>
    <xf numFmtId="3" fontId="3" fillId="3" borderId="3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3" borderId="4" xfId="0" applyFont="1" applyFill="1" applyBorder="1" applyAlignment="1">
      <alignment horizontal="center" wrapText="1"/>
    </xf>
    <xf numFmtId="3" fontId="8" fillId="0" borderId="1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4" fontId="10" fillId="2" borderId="3" xfId="0" applyNumberFormat="1" applyFont="1" applyFill="1" applyBorder="1" applyAlignment="1">
      <alignment horizontal="right"/>
    </xf>
    <xf numFmtId="3" fontId="10" fillId="2" borderId="3" xfId="0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/>
    <xf numFmtId="164" fontId="4" fillId="0" borderId="3" xfId="0" applyNumberFormat="1" applyFont="1" applyBorder="1" applyAlignment="1">
      <alignment horizontal="left"/>
    </xf>
    <xf numFmtId="165" fontId="4" fillId="0" borderId="3" xfId="0" applyNumberFormat="1" applyFont="1" applyBorder="1" applyAlignment="1">
      <alignment horizontal="left"/>
    </xf>
    <xf numFmtId="164" fontId="0" fillId="0" borderId="0" xfId="0" applyNumberFormat="1" applyAlignment="1"/>
    <xf numFmtId="164" fontId="3" fillId="3" borderId="3" xfId="0" applyNumberFormat="1" applyFont="1" applyFill="1" applyBorder="1" applyAlignment="1">
      <alignment horizontal="center" wrapText="1"/>
    </xf>
    <xf numFmtId="164" fontId="0" fillId="0" borderId="0" xfId="0" applyNumberFormat="1" applyAlignment="1">
      <alignment wrapText="1"/>
    </xf>
    <xf numFmtId="164" fontId="4" fillId="0" borderId="3" xfId="0" applyNumberFormat="1" applyFont="1" applyBorder="1" applyAlignment="1">
      <alignment horizontal="center"/>
    </xf>
    <xf numFmtId="164" fontId="4" fillId="4" borderId="3" xfId="0" applyNumberFormat="1" applyFont="1" applyFill="1" applyBorder="1" applyAlignment="1">
      <alignment horizontal="left"/>
    </xf>
    <xf numFmtId="166" fontId="4" fillId="0" borderId="3" xfId="0" applyNumberFormat="1" applyFont="1" applyBorder="1" applyAlignment="1">
      <alignment horizontal="left"/>
    </xf>
    <xf numFmtId="165" fontId="10" fillId="0" borderId="3" xfId="0" applyNumberFormat="1" applyFont="1" applyBorder="1" applyAlignment="1">
      <alignment horizontal="left"/>
    </xf>
    <xf numFmtId="3" fontId="11" fillId="0" borderId="0" xfId="0" applyNumberFormat="1" applyFont="1" applyAlignment="1"/>
    <xf numFmtId="3" fontId="11" fillId="0" borderId="1" xfId="1" applyNumberFormat="1" applyFont="1"/>
    <xf numFmtId="0" fontId="9" fillId="0" borderId="6" xfId="0" applyFont="1" applyBorder="1" applyAlignment="1"/>
    <xf numFmtId="3" fontId="9" fillId="0" borderId="6" xfId="0" applyNumberFormat="1" applyFont="1" applyBorder="1" applyAlignment="1"/>
    <xf numFmtId="3" fontId="11" fillId="0" borderId="1" xfId="2" applyNumberFormat="1" applyFont="1"/>
    <xf numFmtId="0" fontId="10" fillId="2" borderId="5" xfId="0" applyFont="1" applyFill="1" applyBorder="1" applyAlignment="1">
      <alignment horizontal="center"/>
    </xf>
    <xf numFmtId="165" fontId="10" fillId="0" borderId="8" xfId="0" applyNumberFormat="1" applyFont="1" applyBorder="1" applyAlignment="1">
      <alignment horizontal="left"/>
    </xf>
    <xf numFmtId="165" fontId="4" fillId="0" borderId="8" xfId="0" applyNumberFormat="1" applyFont="1" applyBorder="1" applyAlignment="1">
      <alignment horizontal="left"/>
    </xf>
    <xf numFmtId="165" fontId="4" fillId="0" borderId="9" xfId="0" applyNumberFormat="1" applyFont="1" applyBorder="1" applyAlignment="1">
      <alignment horizontal="left"/>
    </xf>
    <xf numFmtId="0" fontId="0" fillId="0" borderId="7" xfId="0" applyBorder="1"/>
    <xf numFmtId="165" fontId="4" fillId="0" borderId="7" xfId="0" applyNumberFormat="1" applyFont="1" applyBorder="1" applyAlignment="1">
      <alignment horizontal="left"/>
    </xf>
    <xf numFmtId="0" fontId="0" fillId="0" borderId="7" xfId="0" applyBorder="1" applyAlignment="1">
      <alignment horizontal="left"/>
    </xf>
    <xf numFmtId="0" fontId="10" fillId="2" borderId="7" xfId="0" applyFont="1" applyFill="1" applyBorder="1" applyAlignment="1">
      <alignment horizontal="center"/>
    </xf>
    <xf numFmtId="4" fontId="10" fillId="2" borderId="7" xfId="0" applyNumberFormat="1" applyFont="1" applyFill="1" applyBorder="1" applyAlignment="1">
      <alignment horizontal="right"/>
    </xf>
    <xf numFmtId="3" fontId="10" fillId="2" borderId="7" xfId="0" applyNumberFormat="1" applyFont="1" applyFill="1" applyBorder="1" applyAlignment="1">
      <alignment horizontal="right"/>
    </xf>
    <xf numFmtId="165" fontId="10" fillId="0" borderId="7" xfId="0" applyNumberFormat="1" applyFont="1" applyBorder="1" applyAlignment="1">
      <alignment horizontal="left"/>
    </xf>
    <xf numFmtId="0" fontId="13" fillId="0" borderId="0" xfId="0" applyFont="1" applyAlignment="1">
      <alignment horizontal="center" vertical="center" readingOrder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3" fontId="5" fillId="2" borderId="2" xfId="0" applyNumberFormat="1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3" fontId="7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3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 wrapText="1"/>
    </xf>
  </cellXfs>
  <cellStyles count="3">
    <cellStyle name="Standard" xfId="0" builtinId="0"/>
    <cellStyle name="Standard 2" xfId="1" xr:uid="{3A4151B1-B1C8-4C72-8024-F9B05C658961}"/>
    <cellStyle name="Standard 3" xfId="2" xr:uid="{A34090F1-74B1-4A98-9367-8544FD2238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τ</a:t>
            </a:r>
            <a:r>
              <a:rPr lang="de-DE" sz="18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in Abhängigkeit von 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7654548500586358E-2"/>
          <c:y val="0.11823868921245667"/>
          <c:w val="0.85816843816508748"/>
          <c:h val="0.73495786022177223"/>
        </c:manualLayout>
      </c:layout>
      <c:scatterChart>
        <c:scatterStyle val="lineMarker"/>
        <c:varyColors val="0"/>
        <c:ser>
          <c:idx val="0"/>
          <c:order val="0"/>
          <c:tx>
            <c:strRef>
              <c:f>tau!$A$1</c:f>
              <c:strCache>
                <c:ptCount val="1"/>
                <c:pt idx="0">
                  <c:v>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trendline>
            <c:name>τ (gemessen)</c:name>
            <c:spPr>
              <a:ln w="25400" cap="rnd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tau!$A$2:$A$7</c:f>
              <c:numCache>
                <c:formatCode>General</c:formatCode>
                <c:ptCount val="6"/>
                <c:pt idx="0">
                  <c:v>20</c:v>
                </c:pt>
                <c:pt idx="1">
                  <c:v>68</c:v>
                </c:pt>
                <c:pt idx="2">
                  <c:v>180</c:v>
                </c:pt>
                <c:pt idx="3">
                  <c:v>390</c:v>
                </c:pt>
                <c:pt idx="4">
                  <c:v>820</c:v>
                </c:pt>
                <c:pt idx="5">
                  <c:v>1000</c:v>
                </c:pt>
              </c:numCache>
            </c:numRef>
          </c:xVal>
          <c:yVal>
            <c:numRef>
              <c:f>tau!$B$2:$B$7</c:f>
              <c:numCache>
                <c:formatCode>General</c:formatCode>
                <c:ptCount val="6"/>
                <c:pt idx="0">
                  <c:v>9.44</c:v>
                </c:pt>
                <c:pt idx="1">
                  <c:v>30.8</c:v>
                </c:pt>
                <c:pt idx="2">
                  <c:v>76</c:v>
                </c:pt>
                <c:pt idx="3">
                  <c:v>135</c:v>
                </c:pt>
                <c:pt idx="4">
                  <c:v>214</c:v>
                </c:pt>
                <c:pt idx="5">
                  <c:v>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AE-4FBB-8A27-FFC0764860F5}"/>
            </c:ext>
          </c:extLst>
        </c:ser>
        <c:ser>
          <c:idx val="1"/>
          <c:order val="1"/>
          <c:tx>
            <c:strRef>
              <c:f>tau!$D$1</c:f>
              <c:strCache>
                <c:ptCount val="1"/>
                <c:pt idx="0">
                  <c:v>tau_corrected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1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trendline>
            <c:name>τ (berechnet)</c:name>
            <c:spPr>
              <a:ln w="254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tau!$C$2:$C$7</c:f>
              <c:numCache>
                <c:formatCode>General</c:formatCode>
                <c:ptCount val="6"/>
                <c:pt idx="0">
                  <c:v>19.600000000000001</c:v>
                </c:pt>
                <c:pt idx="1">
                  <c:v>63.7</c:v>
                </c:pt>
                <c:pt idx="2">
                  <c:v>152.5</c:v>
                </c:pt>
                <c:pt idx="3">
                  <c:v>280.60000000000002</c:v>
                </c:pt>
                <c:pt idx="4">
                  <c:v>450.6</c:v>
                </c:pt>
                <c:pt idx="5">
                  <c:v>500</c:v>
                </c:pt>
              </c:numCache>
            </c:numRef>
          </c:xVal>
          <c:yVal>
            <c:numRef>
              <c:f>tau!$D$2:$D$7</c:f>
              <c:numCache>
                <c:formatCode>General</c:formatCode>
                <c:ptCount val="6"/>
                <c:pt idx="0">
                  <c:v>9.1999999999999993</c:v>
                </c:pt>
                <c:pt idx="1">
                  <c:v>29.9</c:v>
                </c:pt>
                <c:pt idx="2">
                  <c:v>71.7</c:v>
                </c:pt>
                <c:pt idx="3">
                  <c:v>132</c:v>
                </c:pt>
                <c:pt idx="4">
                  <c:v>212</c:v>
                </c:pt>
                <c:pt idx="5">
                  <c:v>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0AE-4FBB-8A27-FFC076486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289064"/>
        <c:axId val="525289720"/>
      </c:scatterChart>
      <c:valAx>
        <c:axId val="525289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4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R_C/k</a:t>
                </a:r>
                <a:r>
                  <a:rPr lang="el-GR" sz="1400" b="1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Ω</a:t>
                </a:r>
                <a:endParaRPr lang="de-DE" sz="14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5289720"/>
        <c:crosses val="autoZero"/>
        <c:crossBetween val="midCat"/>
      </c:valAx>
      <c:valAx>
        <c:axId val="525289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600" b="1" i="0" baseline="0">
                    <a:effectLst/>
                    <a:latin typeface="+mn-lt"/>
                  </a:rPr>
                  <a:t>τ</a:t>
                </a:r>
                <a:r>
                  <a:rPr lang="de-DE" sz="1600" b="1" i="0" baseline="0">
                    <a:effectLst/>
                    <a:latin typeface="+mn-lt"/>
                  </a:rPr>
                  <a:t>/ms</a:t>
                </a:r>
                <a:endParaRPr lang="de-DE" sz="1600">
                  <a:effectLst/>
                  <a:latin typeface="+mn-lt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5289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73383717106283697"/>
          <c:y val="0.66268462391515559"/>
          <c:w val="0.16787240247451338"/>
          <c:h val="0.12695735426092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b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000" b="1"/>
              <a:t>Verstärkung des invertierenden</a:t>
            </a:r>
            <a:r>
              <a:rPr lang="de-DE" sz="2000" b="1" baseline="0"/>
              <a:t> OPVs</a:t>
            </a:r>
            <a:endParaRPr lang="de-DE" sz="2000" b="1"/>
          </a:p>
        </c:rich>
      </c:tx>
      <c:layout>
        <c:manualLayout>
          <c:xMode val="edge"/>
          <c:yMode val="edge"/>
          <c:x val="0.21570993202461872"/>
          <c:y val="4.32390858971095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b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213048058951679"/>
          <c:y val="0.13394032648166102"/>
          <c:w val="0.85107974905060657"/>
          <c:h val="0.73667060397105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'Inverting OpAmp'!$A$4</c:f>
              <c:strCache>
                <c:ptCount val="1"/>
                <c:pt idx="0">
                  <c:v>gemessene Verstärkung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Trendlinie 3. Grades Messung</c:nam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'Inverting OpAmp'!$B$1:$I$1</c:f>
              <c:numCache>
                <c:formatCode>#,##0.00</c:formatCode>
                <c:ptCount val="8"/>
                <c:pt idx="0">
                  <c:v>2.2000000000000002</c:v>
                </c:pt>
                <c:pt idx="1">
                  <c:v>3.6</c:v>
                </c:pt>
                <c:pt idx="2">
                  <c:v>6.8</c:v>
                </c:pt>
                <c:pt idx="3" formatCode="#,##0">
                  <c:v>11</c:v>
                </c:pt>
                <c:pt idx="4" formatCode="#,##0">
                  <c:v>51</c:v>
                </c:pt>
                <c:pt idx="5" formatCode="#,##0">
                  <c:v>82</c:v>
                </c:pt>
                <c:pt idx="6" formatCode="#,##0">
                  <c:v>100</c:v>
                </c:pt>
                <c:pt idx="7" formatCode="#,##0">
                  <c:v>110</c:v>
                </c:pt>
              </c:numCache>
            </c:numRef>
          </c:xVal>
          <c:yVal>
            <c:numRef>
              <c:f>'Inverting OpAmp'!$B$4:$I$4</c:f>
              <c:numCache>
                <c:formatCode>#,##0.0000</c:formatCode>
                <c:ptCount val="8"/>
                <c:pt idx="0">
                  <c:v>1</c:v>
                </c:pt>
                <c:pt idx="1">
                  <c:v>1.6135593220338984</c:v>
                </c:pt>
                <c:pt idx="2">
                  <c:v>3.1020408163265309</c:v>
                </c:pt>
                <c:pt idx="3">
                  <c:v>4.9158249158249161</c:v>
                </c:pt>
                <c:pt idx="4">
                  <c:v>23.26530612244898</c:v>
                </c:pt>
                <c:pt idx="5">
                  <c:v>36.912751677852349</c:v>
                </c:pt>
                <c:pt idx="6">
                  <c:v>43.5374149659864</c:v>
                </c:pt>
                <c:pt idx="7">
                  <c:v>45.270270270270274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B-4025-BCD8-703F4C5906A8}"/>
            </c:ext>
          </c:extLst>
        </c:ser>
        <c:ser>
          <c:idx val="1"/>
          <c:order val="1"/>
          <c:tx>
            <c:strRef>
              <c:f>'Inverting OpAmp'!$A$5</c:f>
              <c:strCache>
                <c:ptCount val="1"/>
                <c:pt idx="0">
                  <c:v>theoretische Verstärkung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name>Trendlinie 3. Grades Theorie</c:nam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'Inverting OpAmp'!$B$1:$I$1</c:f>
              <c:numCache>
                <c:formatCode>#,##0.00</c:formatCode>
                <c:ptCount val="8"/>
                <c:pt idx="0">
                  <c:v>2.2000000000000002</c:v>
                </c:pt>
                <c:pt idx="1">
                  <c:v>3.6</c:v>
                </c:pt>
                <c:pt idx="2">
                  <c:v>6.8</c:v>
                </c:pt>
                <c:pt idx="3" formatCode="#,##0">
                  <c:v>11</c:v>
                </c:pt>
                <c:pt idx="4" formatCode="#,##0">
                  <c:v>51</c:v>
                </c:pt>
                <c:pt idx="5" formatCode="#,##0">
                  <c:v>82</c:v>
                </c:pt>
                <c:pt idx="6" formatCode="#,##0">
                  <c:v>100</c:v>
                </c:pt>
                <c:pt idx="7" formatCode="#,##0">
                  <c:v>110</c:v>
                </c:pt>
              </c:numCache>
            </c:numRef>
          </c:xVal>
          <c:yVal>
            <c:numRef>
              <c:f>'Inverting OpAmp'!$B$5:$I$5</c:f>
              <c:numCache>
                <c:formatCode>General</c:formatCode>
                <c:ptCount val="8"/>
                <c:pt idx="0">
                  <c:v>1</c:v>
                </c:pt>
                <c:pt idx="1">
                  <c:v>1.6363636363636362</c:v>
                </c:pt>
                <c:pt idx="2">
                  <c:v>3.0909090909090904</c:v>
                </c:pt>
                <c:pt idx="3">
                  <c:v>5</c:v>
                </c:pt>
                <c:pt idx="4">
                  <c:v>23.18181818181818</c:v>
                </c:pt>
                <c:pt idx="5">
                  <c:v>37.272727272727266</c:v>
                </c:pt>
                <c:pt idx="6">
                  <c:v>45.454545454545453</c:v>
                </c:pt>
                <c:pt idx="7">
                  <c:v>49.999999999999993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AB-4025-BCD8-703F4C590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116024"/>
        <c:axId val="465118320"/>
      </c:scatterChart>
      <c:valAx>
        <c:axId val="465116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 b="1"/>
                  <a:t>R3/k</a:t>
                </a:r>
                <a:r>
                  <a:rPr lang="el-GR" sz="1600" b="1"/>
                  <a:t>Ω</a:t>
                </a:r>
                <a:endParaRPr lang="de-DE" sz="1600" b="1"/>
              </a:p>
            </c:rich>
          </c:tx>
          <c:layout>
            <c:manualLayout>
              <c:xMode val="edge"/>
              <c:yMode val="edge"/>
              <c:x val="0.44473666980154997"/>
              <c:y val="0.92496813452806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5118320"/>
        <c:crosses val="autoZero"/>
        <c:crossBetween val="midCat"/>
      </c:valAx>
      <c:valAx>
        <c:axId val="465118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 b="1"/>
                  <a:t>Verstärkung</a:t>
                </a:r>
              </a:p>
            </c:rich>
          </c:tx>
          <c:layout>
            <c:manualLayout>
              <c:xMode val="edge"/>
              <c:yMode val="edge"/>
              <c:x val="1.9877513116182372E-2"/>
              <c:y val="0.424500753484487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5116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703994970716094"/>
          <c:y val="0.54824484885231872"/>
          <c:w val="0.30086665634932919"/>
          <c:h val="0.226309201375482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000" b="1"/>
              <a:t>Verstärkung des invertierenden</a:t>
            </a:r>
            <a:r>
              <a:rPr lang="de-DE" sz="2000" b="1" baseline="0"/>
              <a:t> OPVs in dB</a:t>
            </a:r>
          </a:p>
        </c:rich>
      </c:tx>
      <c:layout>
        <c:manualLayout>
          <c:xMode val="edge"/>
          <c:yMode val="edge"/>
          <c:x val="0.17791338990559116"/>
          <c:y val="4.02122235664350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77974509140794"/>
          <c:y val="0.13394032648166102"/>
          <c:w val="0.84541269327134694"/>
          <c:h val="0.74877805329375069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'Inverting OpAmp'!$A$6</c:f>
              <c:strCache>
                <c:ptCount val="1"/>
                <c:pt idx="0">
                  <c:v>gemessene Verstärkung in dB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Logarithmische Trendlinie Messung</c:nam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'Inverting OpAmp'!$B$1:$I$1</c:f>
              <c:numCache>
                <c:formatCode>#,##0.00</c:formatCode>
                <c:ptCount val="8"/>
                <c:pt idx="0">
                  <c:v>2.2000000000000002</c:v>
                </c:pt>
                <c:pt idx="1">
                  <c:v>3.6</c:v>
                </c:pt>
                <c:pt idx="2">
                  <c:v>6.8</c:v>
                </c:pt>
                <c:pt idx="3" formatCode="#,##0">
                  <c:v>11</c:v>
                </c:pt>
                <c:pt idx="4" formatCode="#,##0">
                  <c:v>51</c:v>
                </c:pt>
                <c:pt idx="5" formatCode="#,##0">
                  <c:v>82</c:v>
                </c:pt>
                <c:pt idx="6" formatCode="#,##0">
                  <c:v>100</c:v>
                </c:pt>
                <c:pt idx="7" formatCode="#,##0">
                  <c:v>110</c:v>
                </c:pt>
              </c:numCache>
            </c:numRef>
          </c:xVal>
          <c:yVal>
            <c:numRef>
              <c:f>'Inverting OpAmp'!$B$6:$I$6</c:f>
              <c:numCache>
                <c:formatCode>General</c:formatCode>
                <c:ptCount val="8"/>
                <c:pt idx="0">
                  <c:v>0</c:v>
                </c:pt>
                <c:pt idx="1">
                  <c:v>4.1556987348466032</c:v>
                </c:pt>
                <c:pt idx="2">
                  <c:v>9.832950158325179</c:v>
                </c:pt>
                <c:pt idx="3">
                  <c:v>13.831928129344496</c:v>
                </c:pt>
                <c:pt idx="4">
                  <c:v>27.334175426159177</c:v>
                </c:pt>
                <c:pt idx="5">
                  <c:v>31.343528421639398</c:v>
                </c:pt>
                <c:pt idx="6">
                  <c:v>32.777252784714221</c:v>
                </c:pt>
                <c:pt idx="7">
                  <c:v>33.116261746117381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3F-4465-BB77-96F5AA7A780C}"/>
            </c:ext>
          </c:extLst>
        </c:ser>
        <c:ser>
          <c:idx val="1"/>
          <c:order val="1"/>
          <c:tx>
            <c:strRef>
              <c:f>'Inverting OpAmp'!$A$7</c:f>
              <c:strCache>
                <c:ptCount val="1"/>
                <c:pt idx="0">
                  <c:v>theoretische Verstärkung in dB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name>Logarithmische Trendlinie Theorie</c:nam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'Inverting OpAmp'!$B$1:$I$1</c:f>
              <c:numCache>
                <c:formatCode>#,##0.00</c:formatCode>
                <c:ptCount val="8"/>
                <c:pt idx="0">
                  <c:v>2.2000000000000002</c:v>
                </c:pt>
                <c:pt idx="1">
                  <c:v>3.6</c:v>
                </c:pt>
                <c:pt idx="2">
                  <c:v>6.8</c:v>
                </c:pt>
                <c:pt idx="3" formatCode="#,##0">
                  <c:v>11</c:v>
                </c:pt>
                <c:pt idx="4" formatCode="#,##0">
                  <c:v>51</c:v>
                </c:pt>
                <c:pt idx="5" formatCode="#,##0">
                  <c:v>82</c:v>
                </c:pt>
                <c:pt idx="6" formatCode="#,##0">
                  <c:v>100</c:v>
                </c:pt>
                <c:pt idx="7" formatCode="#,##0">
                  <c:v>110</c:v>
                </c:pt>
              </c:numCache>
            </c:numRef>
          </c:xVal>
          <c:yVal>
            <c:numRef>
              <c:f>'Inverting OpAmp'!$B$7:$I$7</c:f>
              <c:numCache>
                <c:formatCode>General</c:formatCode>
                <c:ptCount val="8"/>
                <c:pt idx="0">
                  <c:v>0</c:v>
                </c:pt>
                <c:pt idx="1">
                  <c:v>4.2775963989016201</c:v>
                </c:pt>
                <c:pt idx="2">
                  <c:v>9.8017246376806</c:v>
                </c:pt>
                <c:pt idx="3">
                  <c:v>13.979400086720377</c:v>
                </c:pt>
                <c:pt idx="4">
                  <c:v>27.302949905514602</c:v>
                </c:pt>
                <c:pt idx="5">
                  <c:v>31.427823431230205</c:v>
                </c:pt>
                <c:pt idx="6">
                  <c:v>33.151546383555875</c:v>
                </c:pt>
                <c:pt idx="7">
                  <c:v>33.979400086720375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3F-4465-BB77-96F5AA7A7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116024"/>
        <c:axId val="465118320"/>
      </c:scatterChart>
      <c:valAx>
        <c:axId val="465116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 b="1"/>
                  <a:t>R3/k</a:t>
                </a:r>
                <a:r>
                  <a:rPr lang="el-GR" sz="1600" b="1"/>
                  <a:t>Ω</a:t>
                </a:r>
                <a:endParaRPr lang="de-DE" sz="1600" b="1"/>
              </a:p>
            </c:rich>
          </c:tx>
          <c:layout>
            <c:manualLayout>
              <c:xMode val="edge"/>
              <c:yMode val="edge"/>
              <c:x val="0.44284503043755785"/>
              <c:y val="0.927994996858736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5118320"/>
        <c:crosses val="autoZero"/>
        <c:crossBetween val="midCat"/>
      </c:valAx>
      <c:valAx>
        <c:axId val="465118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 b="1"/>
                  <a:t>Verstärkung/dB</a:t>
                </a:r>
              </a:p>
            </c:rich>
          </c:tx>
          <c:layout>
            <c:manualLayout>
              <c:xMode val="edge"/>
              <c:yMode val="edge"/>
              <c:x val="1.9877513116182372E-2"/>
              <c:y val="0.424500753484487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5116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064146319389539"/>
          <c:y val="0.48770760223882953"/>
          <c:w val="0.39267381917518507"/>
          <c:h val="0.379973706814777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666750</xdr:colOff>
      <xdr:row>2</xdr:row>
      <xdr:rowOff>9524</xdr:rowOff>
    </xdr:from>
    <xdr:to>
      <xdr:col>15</xdr:col>
      <xdr:colOff>342900</xdr:colOff>
      <xdr:row>26</xdr:row>
      <xdr:rowOff>22859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C8AF242-4362-4FBD-966B-113FB0BDE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1517277</xdr:colOff>
      <xdr:row>9</xdr:row>
      <xdr:rowOff>6442</xdr:rowOff>
    </xdr:from>
    <xdr:to>
      <xdr:col>9</xdr:col>
      <xdr:colOff>303592</xdr:colOff>
      <xdr:row>53</xdr:row>
      <xdr:rowOff>9777</xdr:rowOff>
    </xdr:to>
    <xdr:grpSp>
      <xdr:nvGrpSpPr>
        <xdr:cNvPr id="3" name="Gruppieren 2">
          <a:extLst>
            <a:ext uri="{FF2B5EF4-FFF2-40B4-BE49-F238E27FC236}">
              <a16:creationId xmlns:a16="http://schemas.microsoft.com/office/drawing/2014/main" id="{2BB2A97D-A413-4877-88CC-B649E6F79C1D}"/>
            </a:ext>
          </a:extLst>
        </xdr:cNvPr>
        <xdr:cNvGrpSpPr/>
      </xdr:nvGrpSpPr>
      <xdr:grpSpPr>
        <a:xfrm>
          <a:off x="1517277" y="1720942"/>
          <a:ext cx="6720080" cy="8385335"/>
          <a:chOff x="1517277" y="1720942"/>
          <a:chExt cx="6720080" cy="8385335"/>
        </a:xfrm>
      </xdr:grpSpPr>
      <xdr:graphicFrame macro="">
        <xdr:nvGraphicFramePr>
          <xdr:cNvPr id="2" name="Diagramm 1">
            <a:extLst>
              <a:ext uri="{FF2B5EF4-FFF2-40B4-BE49-F238E27FC236}">
                <a16:creationId xmlns:a16="http://schemas.microsoft.com/office/drawing/2014/main" id="{E21FDC98-670F-4943-B1B2-6C535B346683}"/>
              </a:ext>
            </a:extLst>
          </xdr:cNvPr>
          <xdr:cNvGraphicFramePr/>
        </xdr:nvGraphicFramePr>
        <xdr:xfrm>
          <a:off x="1517277" y="1720942"/>
          <a:ext cx="6720080" cy="41957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6" name="Diagramm 5">
            <a:extLst>
              <a:ext uri="{FF2B5EF4-FFF2-40B4-BE49-F238E27FC236}">
                <a16:creationId xmlns:a16="http://schemas.microsoft.com/office/drawing/2014/main" id="{47175B46-3213-41D0-8739-FF76E280A065}"/>
              </a:ext>
            </a:extLst>
          </xdr:cNvPr>
          <xdr:cNvGraphicFramePr>
            <a:graphicFrameLocks/>
          </xdr:cNvGraphicFramePr>
        </xdr:nvGraphicFramePr>
        <xdr:xfrm>
          <a:off x="1517661" y="5910513"/>
          <a:ext cx="6718016" cy="41957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66"/>
  <sheetViews>
    <sheetView topLeftCell="A40" zoomScaleNormal="100" workbookViewId="0">
      <selection activeCell="J61" sqref="J61"/>
    </sheetView>
  </sheetViews>
  <sheetFormatPr baseColWidth="10" defaultColWidth="8.85546875" defaultRowHeight="15" x14ac:dyDescent="0.25"/>
  <cols>
    <col min="1" max="1" width="15" style="25" bestFit="1" customWidth="1"/>
    <col min="2" max="11" width="15" style="26" bestFit="1" customWidth="1"/>
  </cols>
  <sheetData>
    <row r="1" spans="1:11" s="1" customFormat="1" ht="23.25" customHeight="1" x14ac:dyDescent="0.3">
      <c r="A1" s="53" t="s">
        <v>0</v>
      </c>
      <c r="B1" s="54"/>
      <c r="C1" s="54"/>
      <c r="D1" s="54"/>
      <c r="E1" s="54"/>
      <c r="F1" s="54"/>
      <c r="G1" s="54"/>
      <c r="H1" s="2"/>
      <c r="I1" s="2"/>
      <c r="J1" s="2"/>
      <c r="K1" s="3"/>
    </row>
    <row r="2" spans="1:11" s="1" customFormat="1" ht="20.25" customHeight="1" x14ac:dyDescent="0.25">
      <c r="A2" s="55" t="s">
        <v>52</v>
      </c>
      <c r="B2" s="56"/>
      <c r="C2" s="56"/>
      <c r="D2" s="56"/>
      <c r="E2" s="56"/>
      <c r="F2" s="56"/>
      <c r="G2" s="56"/>
      <c r="H2" s="4"/>
      <c r="I2" s="4"/>
      <c r="J2" s="4"/>
      <c r="K2" s="3"/>
    </row>
    <row r="3" spans="1:11" ht="18.75" customHeigh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9.5" customHeight="1" x14ac:dyDescent="0.25">
      <c r="A4" s="7" t="s">
        <v>1</v>
      </c>
      <c r="B4" s="8">
        <v>15</v>
      </c>
      <c r="C4" s="9"/>
      <c r="D4" s="6"/>
      <c r="E4" s="6"/>
      <c r="F4" s="6"/>
      <c r="G4" s="9"/>
      <c r="H4" s="6"/>
      <c r="I4" s="6"/>
      <c r="J4" s="6"/>
      <c r="K4" s="6"/>
    </row>
    <row r="5" spans="1:11" ht="19.5" customHeight="1" x14ac:dyDescent="0.25">
      <c r="A5" s="7"/>
      <c r="B5" s="6"/>
      <c r="C5" s="9"/>
      <c r="D5" s="6"/>
      <c r="E5" s="6"/>
      <c r="F5" s="6"/>
      <c r="G5" s="9"/>
      <c r="H5" s="6"/>
      <c r="I5" s="6"/>
      <c r="J5" s="6"/>
      <c r="K5" s="6"/>
    </row>
    <row r="6" spans="1:11" ht="20.25" customHeight="1" x14ac:dyDescent="0.25">
      <c r="A6" s="57" t="s">
        <v>2</v>
      </c>
      <c r="B6" s="58"/>
      <c r="C6" s="58"/>
      <c r="D6" s="58"/>
      <c r="E6" s="58"/>
      <c r="F6" s="58"/>
      <c r="G6" s="58"/>
      <c r="H6" s="6"/>
      <c r="I6" s="6"/>
      <c r="J6" s="6"/>
      <c r="K6" s="6"/>
    </row>
    <row r="7" spans="1:11" ht="18.75" customHeight="1" x14ac:dyDescent="0.25">
      <c r="A7" s="5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ht="18.75" customHeight="1" x14ac:dyDescent="0.25">
      <c r="A8" s="5" t="s">
        <v>4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1" ht="19.5" customHeight="1" x14ac:dyDescent="0.25">
      <c r="A9" s="5" t="s">
        <v>5</v>
      </c>
      <c r="B9" s="6"/>
      <c r="C9" s="6"/>
      <c r="D9" s="6"/>
      <c r="E9" s="10" t="s">
        <v>6</v>
      </c>
      <c r="F9" s="6"/>
      <c r="G9" s="6"/>
      <c r="H9" s="6"/>
      <c r="I9" s="6"/>
      <c r="J9" s="6"/>
      <c r="K9" s="6"/>
    </row>
    <row r="10" spans="1:11" ht="18.75" customHeight="1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ht="20.25" customHeight="1" x14ac:dyDescent="0.25">
      <c r="A11" s="59" t="s">
        <v>7</v>
      </c>
      <c r="B11" s="59"/>
      <c r="C11" s="59"/>
      <c r="D11" s="59"/>
      <c r="E11" s="59"/>
      <c r="F11" s="59"/>
      <c r="G11" s="59"/>
      <c r="H11" s="6"/>
      <c r="I11" s="6"/>
      <c r="J11" s="6"/>
      <c r="K11" s="6"/>
    </row>
    <row r="12" spans="1:11" s="1" customFormat="1" ht="18.75" customHeight="1" x14ac:dyDescent="0.25">
      <c r="A12" s="60" t="s">
        <v>8</v>
      </c>
      <c r="B12" s="60"/>
      <c r="C12" s="60"/>
      <c r="D12" s="60"/>
      <c r="E12" s="60"/>
      <c r="F12" s="60"/>
      <c r="G12" s="60"/>
      <c r="H12" s="3"/>
      <c r="I12" s="3"/>
      <c r="J12" s="3"/>
      <c r="K12" s="3"/>
    </row>
    <row r="13" spans="1:11" s="1" customFormat="1" ht="18.75" customHeight="1" x14ac:dyDescent="0.25">
      <c r="A13" s="60" t="s">
        <v>9</v>
      </c>
      <c r="B13" s="60"/>
      <c r="C13" s="60"/>
      <c r="D13" s="60"/>
      <c r="E13" s="60"/>
      <c r="F13" s="60"/>
      <c r="G13" s="60"/>
      <c r="H13" s="3"/>
      <c r="I13" s="3"/>
      <c r="J13" s="3"/>
      <c r="K13" s="3"/>
    </row>
    <row r="14" spans="1:11" s="1" customFormat="1" ht="18.75" customHeight="1" x14ac:dyDescent="0.25">
      <c r="A14" s="60" t="s">
        <v>10</v>
      </c>
      <c r="B14" s="60"/>
      <c r="C14" s="60"/>
      <c r="D14" s="60"/>
      <c r="E14" s="60"/>
      <c r="F14" s="60"/>
      <c r="G14" s="60"/>
      <c r="H14" s="3"/>
      <c r="I14" s="3"/>
      <c r="J14" s="3"/>
      <c r="K14" s="3"/>
    </row>
    <row r="15" spans="1:11" s="1" customFormat="1" ht="18.75" customHeight="1" x14ac:dyDescent="0.25">
      <c r="A15" s="60" t="s">
        <v>11</v>
      </c>
      <c r="B15" s="60"/>
      <c r="C15" s="60"/>
      <c r="D15" s="60"/>
      <c r="E15" s="60"/>
      <c r="F15" s="60"/>
      <c r="G15" s="60"/>
      <c r="H15" s="3"/>
      <c r="I15" s="3"/>
      <c r="J15" s="3"/>
      <c r="K15" s="3"/>
    </row>
    <row r="16" spans="1:11" s="1" customFormat="1" ht="33" customHeight="1" x14ac:dyDescent="0.25">
      <c r="A16" s="30" t="s">
        <v>12</v>
      </c>
      <c r="B16" s="30" t="s">
        <v>13</v>
      </c>
      <c r="C16" s="30" t="s">
        <v>14</v>
      </c>
      <c r="D16" s="30" t="s">
        <v>15</v>
      </c>
      <c r="E16" s="30" t="s">
        <v>16</v>
      </c>
      <c r="F16" s="31"/>
      <c r="G16" s="31" t="s">
        <v>57</v>
      </c>
      <c r="H16" s="3"/>
      <c r="I16" s="3"/>
      <c r="J16" s="3" t="s">
        <v>58</v>
      </c>
      <c r="K16" s="3"/>
    </row>
    <row r="17" spans="1:11" ht="18.75" customHeight="1" x14ac:dyDescent="0.25">
      <c r="A17" s="32" t="s">
        <v>17</v>
      </c>
      <c r="B17" s="27">
        <v>1</v>
      </c>
      <c r="C17" s="34">
        <v>2.0000000000000001E-4</v>
      </c>
      <c r="D17" s="27" t="s">
        <v>53</v>
      </c>
      <c r="E17" s="27"/>
      <c r="F17" s="29"/>
      <c r="G17" s="29">
        <v>1.17</v>
      </c>
      <c r="H17" s="6"/>
      <c r="I17" s="6"/>
      <c r="J17" s="6">
        <v>0</v>
      </c>
      <c r="K17" s="6"/>
    </row>
    <row r="18" spans="1:11" ht="18.75" customHeight="1" x14ac:dyDescent="0.25">
      <c r="A18" s="32" t="s">
        <v>18</v>
      </c>
      <c r="B18" s="27"/>
      <c r="C18" s="27" t="s">
        <v>54</v>
      </c>
      <c r="D18" s="27" t="s">
        <v>55</v>
      </c>
      <c r="E18" s="27"/>
      <c r="F18" s="29"/>
      <c r="G18" s="29">
        <v>0.16</v>
      </c>
      <c r="H18" s="6"/>
      <c r="I18" s="6"/>
      <c r="J18" s="6">
        <v>1</v>
      </c>
      <c r="K18" s="6"/>
    </row>
    <row r="19" spans="1:11" ht="19.5" customHeight="1" x14ac:dyDescent="0.25">
      <c r="A19" s="32" t="s">
        <v>19</v>
      </c>
      <c r="B19" s="33"/>
      <c r="C19" s="33"/>
      <c r="D19" s="27" t="s">
        <v>56</v>
      </c>
      <c r="E19" s="27"/>
      <c r="F19" s="29"/>
      <c r="G19" s="29"/>
      <c r="H19" s="6"/>
      <c r="I19" s="6"/>
      <c r="J19" s="6"/>
      <c r="K19" s="6"/>
    </row>
    <row r="20" spans="1:11" ht="18.75" customHeight="1" x14ac:dyDescent="0.25">
      <c r="A20" s="13"/>
      <c r="B20" s="6"/>
      <c r="C20" s="6"/>
      <c r="D20" s="6"/>
      <c r="E20" s="6"/>
      <c r="F20" s="40" t="s">
        <v>74</v>
      </c>
      <c r="H20" s="6"/>
      <c r="I20" s="6"/>
      <c r="J20" s="6"/>
      <c r="K20" s="6"/>
    </row>
    <row r="21" spans="1:11" ht="20.25" customHeight="1" x14ac:dyDescent="0.25">
      <c r="A21" s="57" t="s">
        <v>20</v>
      </c>
      <c r="B21" s="58"/>
      <c r="C21" s="58"/>
      <c r="D21" s="58"/>
      <c r="E21" s="58"/>
      <c r="F21" s="58"/>
      <c r="G21" s="58"/>
      <c r="H21" s="6"/>
      <c r="I21" s="6"/>
      <c r="J21" s="6"/>
      <c r="K21" s="6"/>
    </row>
    <row r="22" spans="1:11" ht="20.25" customHeight="1" x14ac:dyDescent="0.25">
      <c r="A22" s="61" t="s">
        <v>21</v>
      </c>
      <c r="B22" s="62"/>
      <c r="C22" s="62"/>
      <c r="D22" s="62"/>
      <c r="E22" s="62"/>
      <c r="F22" s="62"/>
      <c r="G22" s="62"/>
      <c r="H22" s="6"/>
      <c r="I22" s="6"/>
      <c r="J22" s="6"/>
      <c r="K22" s="6"/>
    </row>
    <row r="23" spans="1:11" ht="20.25" customHeight="1" x14ac:dyDescent="0.25">
      <c r="A23" s="61" t="s">
        <v>22</v>
      </c>
      <c r="B23" s="65"/>
      <c r="C23" s="65"/>
      <c r="D23" s="65"/>
      <c r="E23" s="65"/>
      <c r="F23" s="65"/>
      <c r="G23" s="65"/>
      <c r="H23" s="6"/>
      <c r="I23" s="6"/>
      <c r="J23" s="6"/>
      <c r="K23" s="6"/>
    </row>
    <row r="24" spans="1:11" ht="44.25" customHeight="1" x14ac:dyDescent="0.25">
      <c r="A24" s="66" t="s">
        <v>23</v>
      </c>
      <c r="B24" s="67"/>
      <c r="C24" s="67"/>
      <c r="D24" s="67"/>
      <c r="E24" s="67"/>
      <c r="F24" s="67"/>
      <c r="G24" s="67"/>
      <c r="H24" s="6"/>
      <c r="I24" s="6"/>
      <c r="J24" s="6"/>
      <c r="K24" s="6"/>
    </row>
    <row r="25" spans="1:11" ht="18.75" customHeight="1" x14ac:dyDescent="0.25">
      <c r="A25" s="15" t="s">
        <v>59</v>
      </c>
      <c r="B25" s="14"/>
      <c r="C25" s="14"/>
      <c r="D25" s="14"/>
      <c r="E25" s="14"/>
      <c r="F25" s="14"/>
      <c r="G25" s="14"/>
      <c r="H25" s="6"/>
      <c r="I25" s="6"/>
      <c r="J25" s="6"/>
      <c r="K25" s="6"/>
    </row>
    <row r="26" spans="1:11" ht="20.25" customHeight="1" x14ac:dyDescent="0.25">
      <c r="A26" s="57" t="s">
        <v>24</v>
      </c>
      <c r="B26" s="58"/>
      <c r="C26" s="58"/>
      <c r="D26" s="58"/>
      <c r="E26" s="58"/>
      <c r="F26" s="58"/>
      <c r="G26" s="58"/>
      <c r="H26" s="6"/>
      <c r="I26" s="6"/>
      <c r="J26" s="6"/>
      <c r="K26" s="6"/>
    </row>
    <row r="27" spans="1:11" s="1" customFormat="1" ht="18.75" customHeight="1" x14ac:dyDescent="0.25">
      <c r="A27" s="66" t="s">
        <v>25</v>
      </c>
      <c r="B27" s="68"/>
      <c r="C27" s="68"/>
      <c r="D27" s="68"/>
      <c r="E27" s="68"/>
      <c r="F27" s="68"/>
      <c r="G27" s="68"/>
      <c r="H27" s="3"/>
      <c r="I27" s="3"/>
      <c r="J27" s="3"/>
      <c r="K27" s="3"/>
    </row>
    <row r="28" spans="1:11" s="1" customFormat="1" ht="19.5" customHeight="1" x14ac:dyDescent="0.25">
      <c r="A28" s="16" t="s">
        <v>26</v>
      </c>
      <c r="B28" s="12" t="s">
        <v>27</v>
      </c>
      <c r="C28" s="17"/>
      <c r="D28" s="12" t="s">
        <v>28</v>
      </c>
      <c r="E28" s="3"/>
      <c r="F28" s="3"/>
      <c r="G28" s="3"/>
      <c r="H28" s="3"/>
      <c r="I28" s="3"/>
      <c r="J28" s="3"/>
      <c r="K28" s="3"/>
    </row>
    <row r="29" spans="1:11" ht="19.5" customHeight="1" x14ac:dyDescent="0.25">
      <c r="A29" s="18" t="s">
        <v>29</v>
      </c>
      <c r="B29" s="27">
        <v>0.29399999999999998</v>
      </c>
      <c r="C29" s="29"/>
      <c r="D29" s="27">
        <f>B30/B29</f>
        <v>25.442176870748302</v>
      </c>
      <c r="E29" s="6"/>
      <c r="F29" s="6"/>
      <c r="G29" s="6"/>
      <c r="H29" s="6"/>
      <c r="I29" s="6"/>
      <c r="J29" s="6">
        <v>2</v>
      </c>
      <c r="K29" s="6"/>
    </row>
    <row r="30" spans="1:11" ht="19.5" customHeight="1" x14ac:dyDescent="0.25">
      <c r="A30" s="18" t="s">
        <v>30</v>
      </c>
      <c r="B30" s="27">
        <v>7.48</v>
      </c>
      <c r="C30" s="29"/>
      <c r="D30" s="29"/>
      <c r="E30" s="6"/>
      <c r="F30" s="6"/>
      <c r="G30" s="6"/>
      <c r="H30" s="6"/>
      <c r="I30" s="6"/>
      <c r="J30" s="6">
        <v>3</v>
      </c>
      <c r="K30" s="6"/>
    </row>
    <row r="31" spans="1:11" ht="19.5" customHeight="1" x14ac:dyDescent="0.25">
      <c r="A31" s="19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 ht="18.75" customHeight="1" x14ac:dyDescent="0.25">
      <c r="A32" s="13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8.75" customHeight="1" x14ac:dyDescent="0.25">
      <c r="A33" s="38" t="s">
        <v>31</v>
      </c>
      <c r="B33" s="39"/>
      <c r="C33" s="39"/>
      <c r="D33" s="39"/>
      <c r="E33" s="39"/>
      <c r="F33" s="37" t="s">
        <v>73</v>
      </c>
      <c r="G33" s="39"/>
      <c r="I33" s="6"/>
      <c r="J33" s="6"/>
      <c r="K33" s="6"/>
    </row>
    <row r="34" spans="1:11" ht="19.5" customHeight="1" x14ac:dyDescent="0.25">
      <c r="A34" s="20" t="s">
        <v>32</v>
      </c>
      <c r="B34" s="21">
        <v>2.2000000000000002</v>
      </c>
      <c r="C34" s="21">
        <v>3.6</v>
      </c>
      <c r="D34" s="21">
        <v>6.8</v>
      </c>
      <c r="E34" s="22">
        <v>11</v>
      </c>
      <c r="F34" s="22">
        <v>33</v>
      </c>
      <c r="G34" s="22">
        <v>51</v>
      </c>
      <c r="H34" s="22">
        <v>75</v>
      </c>
      <c r="I34" s="22">
        <v>82</v>
      </c>
      <c r="J34" s="22">
        <v>100</v>
      </c>
      <c r="K34" s="22">
        <v>110</v>
      </c>
    </row>
    <row r="35" spans="1:11" ht="18.75" customHeight="1" x14ac:dyDescent="0.25">
      <c r="A35" s="20" t="s">
        <v>33</v>
      </c>
      <c r="B35" s="42">
        <v>0.29399999999999998</v>
      </c>
      <c r="C35" s="42">
        <v>0.29499999999999998</v>
      </c>
      <c r="D35" s="42">
        <v>0.29399999999999998</v>
      </c>
      <c r="E35" s="42">
        <v>0.29699999999999999</v>
      </c>
      <c r="F35" s="43" t="s">
        <v>60</v>
      </c>
      <c r="G35" s="42">
        <v>0.29399999999999998</v>
      </c>
      <c r="H35" s="43" t="s">
        <v>60</v>
      </c>
      <c r="I35" s="42">
        <v>0.29799999999999999</v>
      </c>
      <c r="J35" s="42">
        <v>0.29399999999999998</v>
      </c>
      <c r="K35" s="42">
        <v>0.29599999999999999</v>
      </c>
    </row>
    <row r="36" spans="1:11" ht="18.75" customHeight="1" x14ac:dyDescent="0.25">
      <c r="A36" s="41" t="s">
        <v>34</v>
      </c>
      <c r="B36" s="47">
        <v>-0.29399999999999998</v>
      </c>
      <c r="C36" s="47">
        <v>-0.47599999999999998</v>
      </c>
      <c r="D36" s="47">
        <v>-0.91200000000000003</v>
      </c>
      <c r="E36" s="47">
        <v>-1.46</v>
      </c>
      <c r="F36" s="46" t="s">
        <v>60</v>
      </c>
      <c r="G36" s="47">
        <v>-6.84</v>
      </c>
      <c r="H36" s="46" t="s">
        <v>60</v>
      </c>
      <c r="I36" s="47">
        <v>-11</v>
      </c>
      <c r="J36" s="47">
        <v>-12.8</v>
      </c>
      <c r="K36" s="47">
        <v>-13.4</v>
      </c>
    </row>
    <row r="37" spans="1:11" ht="18.75" customHeight="1" x14ac:dyDescent="0.25">
      <c r="A37" s="20" t="s">
        <v>28</v>
      </c>
      <c r="B37" s="44">
        <f>B36/B35</f>
        <v>-1</v>
      </c>
      <c r="C37" s="44">
        <f t="shared" ref="C37:K37" si="0">C36/C35</f>
        <v>-1.6135593220338984</v>
      </c>
      <c r="D37" s="44">
        <f t="shared" si="0"/>
        <v>-3.1020408163265309</v>
      </c>
      <c r="E37" s="44">
        <f t="shared" si="0"/>
        <v>-4.9158249158249161</v>
      </c>
      <c r="F37" s="44" t="s">
        <v>60</v>
      </c>
      <c r="G37" s="44">
        <f t="shared" si="0"/>
        <v>-23.26530612244898</v>
      </c>
      <c r="H37" s="44" t="s">
        <v>60</v>
      </c>
      <c r="I37" s="44">
        <f t="shared" si="0"/>
        <v>-36.912751677852349</v>
      </c>
      <c r="J37" s="44">
        <f t="shared" si="0"/>
        <v>-43.5374149659864</v>
      </c>
      <c r="K37" s="44">
        <f t="shared" si="0"/>
        <v>-45.270270270270274</v>
      </c>
    </row>
    <row r="38" spans="1:11" ht="15" customHeight="1" x14ac:dyDescent="0.25">
      <c r="A38" s="5"/>
      <c r="B38" s="6"/>
      <c r="C38" s="6"/>
      <c r="D38" s="6"/>
      <c r="E38" s="6"/>
      <c r="F38" s="6"/>
      <c r="G38" s="6"/>
      <c r="H38" s="6"/>
      <c r="I38" s="6"/>
      <c r="J38" s="6"/>
      <c r="K38" s="6">
        <v>7</v>
      </c>
    </row>
    <row r="39" spans="1:11" ht="18.75" customHeight="1" x14ac:dyDescent="0.25">
      <c r="A39" s="57" t="s">
        <v>35</v>
      </c>
      <c r="B39" s="58"/>
      <c r="C39" s="58"/>
      <c r="D39" s="58"/>
      <c r="E39" s="58"/>
      <c r="F39" s="58"/>
      <c r="G39" s="58"/>
      <c r="H39" s="6"/>
      <c r="I39" s="6"/>
      <c r="J39" s="6"/>
      <c r="K39" s="6"/>
    </row>
    <row r="40" spans="1:11" ht="18.75" customHeight="1" x14ac:dyDescent="0.25">
      <c r="A40" s="23" t="s">
        <v>3</v>
      </c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8.75" customHeight="1" x14ac:dyDescent="0.25">
      <c r="A41" s="5" t="s">
        <v>36</v>
      </c>
      <c r="B41" s="6"/>
      <c r="C41" s="6"/>
      <c r="D41" s="6"/>
      <c r="E41" s="6"/>
      <c r="F41" s="6"/>
      <c r="G41" s="6"/>
      <c r="H41" s="6"/>
      <c r="I41" s="6"/>
      <c r="J41" s="6">
        <v>4</v>
      </c>
      <c r="K41" s="6"/>
    </row>
    <row r="42" spans="1:11" ht="18.75" customHeight="1" x14ac:dyDescent="0.25">
      <c r="A42" s="23" t="s">
        <v>37</v>
      </c>
      <c r="B42" s="6"/>
      <c r="C42" s="6"/>
      <c r="D42" s="6"/>
      <c r="E42" s="6"/>
      <c r="F42" s="6"/>
      <c r="G42" s="6"/>
      <c r="H42" s="6"/>
      <c r="I42" s="6"/>
      <c r="J42" s="6">
        <v>5</v>
      </c>
      <c r="K42" s="6" t="s">
        <v>62</v>
      </c>
    </row>
    <row r="43" spans="1:11" ht="18.75" customHeight="1" x14ac:dyDescent="0.25">
      <c r="A43" s="5" t="s">
        <v>38</v>
      </c>
      <c r="B43" s="6"/>
      <c r="C43" s="6"/>
      <c r="D43" s="6"/>
      <c r="E43" s="6"/>
      <c r="F43" s="36" t="s">
        <v>68</v>
      </c>
      <c r="G43" s="6"/>
      <c r="H43" s="6"/>
      <c r="I43" s="6"/>
      <c r="J43" s="6"/>
      <c r="K43" s="6"/>
    </row>
    <row r="44" spans="1:11" ht="18.75" customHeight="1" x14ac:dyDescent="0.25">
      <c r="A44" s="5" t="s">
        <v>39</v>
      </c>
      <c r="B44" s="6"/>
      <c r="C44" s="6"/>
      <c r="D44" s="6"/>
      <c r="E44" s="6"/>
      <c r="F44" s="36" t="s">
        <v>61</v>
      </c>
      <c r="G44" s="6"/>
      <c r="H44" s="6"/>
      <c r="I44" s="6"/>
      <c r="J44" s="6"/>
      <c r="K44" s="6"/>
    </row>
    <row r="45" spans="1:11" ht="18.75" customHeight="1" x14ac:dyDescent="0.25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ht="18.75" customHeight="1" x14ac:dyDescent="0.25">
      <c r="A46" s="57" t="s">
        <v>40</v>
      </c>
      <c r="B46" s="58"/>
      <c r="C46" s="58"/>
      <c r="D46" s="58"/>
      <c r="E46" s="58"/>
      <c r="F46" s="58"/>
      <c r="G46" s="58"/>
      <c r="H46" s="6"/>
      <c r="I46" s="6"/>
      <c r="J46" s="6"/>
      <c r="K46" s="6"/>
    </row>
    <row r="47" spans="1:11" ht="18.75" customHeight="1" x14ac:dyDescent="0.25">
      <c r="A47" s="5" t="s">
        <v>41</v>
      </c>
      <c r="B47" s="6"/>
      <c r="C47" s="6"/>
      <c r="D47" s="6"/>
      <c r="E47" s="36" t="s">
        <v>69</v>
      </c>
      <c r="G47" s="6"/>
      <c r="H47" s="6"/>
      <c r="I47" s="6"/>
      <c r="J47" s="6">
        <v>6</v>
      </c>
      <c r="K47" s="6"/>
    </row>
    <row r="48" spans="1:11" ht="18.75" customHeight="1" x14ac:dyDescent="0.25">
      <c r="A48" s="23" t="s">
        <v>37</v>
      </c>
      <c r="B48" s="6"/>
      <c r="C48" s="6"/>
      <c r="D48" s="6" t="s">
        <v>63</v>
      </c>
      <c r="E48" s="36" t="s">
        <v>70</v>
      </c>
      <c r="G48" s="6"/>
      <c r="H48" s="6"/>
      <c r="I48" s="6"/>
      <c r="J48" s="6">
        <v>8</v>
      </c>
      <c r="K48" s="6" t="s">
        <v>64</v>
      </c>
    </row>
    <row r="49" spans="1:11" ht="18.75" customHeight="1" x14ac:dyDescent="0.2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ht="18.75" customHeight="1" x14ac:dyDescent="0.25">
      <c r="A50" s="57" t="s">
        <v>42</v>
      </c>
      <c r="B50" s="58"/>
      <c r="C50" s="58"/>
      <c r="D50" s="58"/>
      <c r="E50" s="58"/>
      <c r="F50" s="58"/>
      <c r="G50" s="58"/>
      <c r="H50" s="6"/>
      <c r="I50" s="6"/>
      <c r="J50" s="6"/>
      <c r="K50" s="6"/>
    </row>
    <row r="51" spans="1:11" ht="18.75" customHeight="1" x14ac:dyDescent="0.25">
      <c r="A51" s="23" t="s">
        <v>43</v>
      </c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ht="18.75" customHeight="1" x14ac:dyDescent="0.25">
      <c r="A52" s="5" t="s">
        <v>44</v>
      </c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 ht="18.75" customHeight="1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 ht="18.75" customHeight="1" x14ac:dyDescent="0.25">
      <c r="A54" s="11" t="s">
        <v>45</v>
      </c>
      <c r="B54" s="28" t="s">
        <v>66</v>
      </c>
      <c r="C54" s="6" t="s">
        <v>46</v>
      </c>
      <c r="D54" s="24" t="s">
        <v>37</v>
      </c>
      <c r="E54" s="6" t="s">
        <v>65</v>
      </c>
      <c r="F54" s="6"/>
      <c r="G54" s="6"/>
      <c r="H54" s="6"/>
      <c r="I54" s="6"/>
      <c r="J54" s="6">
        <v>9</v>
      </c>
      <c r="K54" s="6"/>
    </row>
    <row r="55" spans="1:11" ht="18.75" customHeight="1" x14ac:dyDescent="0.25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 ht="18.75" customHeight="1" x14ac:dyDescent="0.25">
      <c r="A56" s="20" t="s">
        <v>47</v>
      </c>
      <c r="B56" s="22">
        <v>20</v>
      </c>
      <c r="C56" s="22">
        <v>68</v>
      </c>
      <c r="D56" s="22">
        <v>390</v>
      </c>
      <c r="E56" s="22">
        <v>820</v>
      </c>
      <c r="F56" s="22">
        <v>1000</v>
      </c>
      <c r="G56" s="22" t="s">
        <v>48</v>
      </c>
      <c r="H56" s="6"/>
      <c r="I56" s="6"/>
      <c r="J56" s="6"/>
      <c r="K56" s="6"/>
    </row>
    <row r="57" spans="1:11" ht="18.75" customHeight="1" x14ac:dyDescent="0.25">
      <c r="A57" s="11" t="s">
        <v>67</v>
      </c>
      <c r="B57" s="35">
        <v>9.44</v>
      </c>
      <c r="C57" s="35">
        <v>30.8</v>
      </c>
      <c r="D57" s="35">
        <v>135</v>
      </c>
      <c r="E57" s="35">
        <v>214</v>
      </c>
      <c r="F57" s="35">
        <v>238</v>
      </c>
      <c r="G57" s="35">
        <v>476</v>
      </c>
      <c r="H57" s="6"/>
      <c r="I57" s="6"/>
      <c r="J57" s="6">
        <v>10</v>
      </c>
      <c r="K57" s="6"/>
    </row>
    <row r="58" spans="1:11" ht="18.75" customHeight="1" x14ac:dyDescent="0.25">
      <c r="A58" s="63" t="s">
        <v>31</v>
      </c>
      <c r="B58" s="64"/>
      <c r="C58" s="64"/>
      <c r="D58" s="64"/>
      <c r="E58" s="64"/>
      <c r="F58" s="64"/>
      <c r="G58" s="64"/>
      <c r="H58" s="6"/>
      <c r="I58" s="6"/>
      <c r="J58" s="6"/>
      <c r="K58" s="6"/>
    </row>
    <row r="59" spans="1:11" ht="18.75" customHeight="1" x14ac:dyDescent="0.25">
      <c r="A59" s="5"/>
      <c r="B59" s="6"/>
      <c r="C59" s="6"/>
      <c r="D59" s="6"/>
      <c r="E59" s="36" t="s">
        <v>71</v>
      </c>
      <c r="F59" s="6"/>
      <c r="G59" s="6"/>
      <c r="H59" s="6"/>
      <c r="I59" s="6"/>
      <c r="J59" s="6"/>
      <c r="K59" s="6"/>
    </row>
    <row r="60" spans="1:11" ht="18.75" customHeight="1" x14ac:dyDescent="0.25">
      <c r="A60" s="5" t="s">
        <v>49</v>
      </c>
      <c r="B60" s="6"/>
      <c r="C60" s="6"/>
      <c r="D60" s="6"/>
      <c r="E60" s="6"/>
      <c r="F60" s="6"/>
      <c r="G60" s="6"/>
      <c r="H60" s="6"/>
      <c r="I60" s="6"/>
      <c r="J60" s="6">
        <v>12</v>
      </c>
      <c r="K60" s="6"/>
    </row>
    <row r="61" spans="1:11" ht="18.75" customHeight="1" x14ac:dyDescent="0.25">
      <c r="A61" s="23" t="s">
        <v>37</v>
      </c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 ht="18.75" customHeight="1" x14ac:dyDescent="0.25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ht="18.75" customHeight="1" x14ac:dyDescent="0.25">
      <c r="A63" s="57" t="s">
        <v>50</v>
      </c>
      <c r="B63" s="58"/>
      <c r="C63" s="58"/>
      <c r="D63" s="58"/>
      <c r="E63" s="58"/>
      <c r="F63" s="58"/>
      <c r="G63" s="58"/>
      <c r="H63" s="6"/>
      <c r="I63" s="6"/>
      <c r="J63" s="6"/>
      <c r="K63" s="6"/>
    </row>
    <row r="64" spans="1:11" ht="18.75" customHeight="1" x14ac:dyDescent="0.25">
      <c r="A64" s="23" t="s">
        <v>4</v>
      </c>
      <c r="B64" s="6"/>
      <c r="C64" s="6"/>
      <c r="D64" s="6"/>
      <c r="E64" s="36" t="s">
        <v>72</v>
      </c>
      <c r="F64" s="6"/>
      <c r="G64" s="6"/>
      <c r="H64" s="6"/>
      <c r="I64" s="6"/>
      <c r="J64" s="6"/>
      <c r="K64" s="6"/>
    </row>
    <row r="65" spans="1:11" ht="18.75" customHeight="1" x14ac:dyDescent="0.25">
      <c r="A65" s="5" t="s">
        <v>51</v>
      </c>
      <c r="B65" s="6"/>
      <c r="C65" s="6"/>
      <c r="D65" s="6"/>
      <c r="E65" s="6"/>
      <c r="F65" s="6"/>
      <c r="G65" s="6"/>
      <c r="H65" s="6"/>
      <c r="I65" s="6"/>
      <c r="J65" s="6">
        <v>11</v>
      </c>
      <c r="K65" s="6"/>
    </row>
    <row r="66" spans="1:11" ht="18.75" customHeight="1" x14ac:dyDescent="0.25">
      <c r="A66" s="23" t="s">
        <v>37</v>
      </c>
      <c r="B66" s="6"/>
      <c r="C66" s="6"/>
      <c r="D66" s="6"/>
      <c r="E66" s="6"/>
      <c r="F66" s="6"/>
      <c r="G66" s="6"/>
      <c r="H66" s="6"/>
      <c r="I66" s="6"/>
      <c r="J66" s="6"/>
      <c r="K66" s="6"/>
    </row>
  </sheetData>
  <mergeCells count="19">
    <mergeCell ref="A46:G46"/>
    <mergeCell ref="A50:G50"/>
    <mergeCell ref="A58:G58"/>
    <mergeCell ref="A63:G63"/>
    <mergeCell ref="A23:G23"/>
    <mergeCell ref="A24:G24"/>
    <mergeCell ref="A26:G26"/>
    <mergeCell ref="A27:G27"/>
    <mergeCell ref="A39:G39"/>
    <mergeCell ref="A13:G13"/>
    <mergeCell ref="A14:G14"/>
    <mergeCell ref="A15:G15"/>
    <mergeCell ref="A21:G21"/>
    <mergeCell ref="A22:G22"/>
    <mergeCell ref="A1:G1"/>
    <mergeCell ref="A2:G2"/>
    <mergeCell ref="A6:G6"/>
    <mergeCell ref="A11:G11"/>
    <mergeCell ref="A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76B7-2A84-444C-81E3-BDF0525670D2}">
  <dimension ref="A1:D29"/>
  <sheetViews>
    <sheetView workbookViewId="0">
      <selection activeCell="J28" sqref="J28"/>
    </sheetView>
  </sheetViews>
  <sheetFormatPr baseColWidth="10" defaultRowHeight="15" x14ac:dyDescent="0.25"/>
  <cols>
    <col min="3" max="3" width="13.5703125" bestFit="1" customWidth="1"/>
    <col min="4" max="4" width="13.28515625" bestFit="1" customWidth="1"/>
  </cols>
  <sheetData>
    <row r="1" spans="1:4" x14ac:dyDescent="0.25">
      <c r="A1" t="s">
        <v>79</v>
      </c>
      <c r="B1" t="s">
        <v>80</v>
      </c>
      <c r="C1" t="s">
        <v>82</v>
      </c>
      <c r="D1" t="s">
        <v>81</v>
      </c>
    </row>
    <row r="2" spans="1:4" x14ac:dyDescent="0.25">
      <c r="A2">
        <v>20</v>
      </c>
      <c r="B2">
        <v>9.44</v>
      </c>
      <c r="C2">
        <v>19.600000000000001</v>
      </c>
      <c r="D2">
        <v>9.1999999999999993</v>
      </c>
    </row>
    <row r="3" spans="1:4" x14ac:dyDescent="0.25">
      <c r="A3">
        <v>68</v>
      </c>
      <c r="B3">
        <v>30.8</v>
      </c>
      <c r="C3">
        <v>63.7</v>
      </c>
      <c r="D3">
        <v>29.9</v>
      </c>
    </row>
    <row r="4" spans="1:4" x14ac:dyDescent="0.25">
      <c r="A4">
        <v>180</v>
      </c>
      <c r="B4">
        <v>76</v>
      </c>
      <c r="C4">
        <v>152.5</v>
      </c>
      <c r="D4">
        <v>71.7</v>
      </c>
    </row>
    <row r="5" spans="1:4" x14ac:dyDescent="0.25">
      <c r="A5">
        <v>390</v>
      </c>
      <c r="B5">
        <v>135</v>
      </c>
      <c r="C5">
        <v>280.60000000000002</v>
      </c>
      <c r="D5">
        <v>132</v>
      </c>
    </row>
    <row r="6" spans="1:4" x14ac:dyDescent="0.25">
      <c r="A6">
        <v>820</v>
      </c>
      <c r="B6">
        <v>214</v>
      </c>
      <c r="C6">
        <v>450.6</v>
      </c>
      <c r="D6">
        <v>212</v>
      </c>
    </row>
    <row r="7" spans="1:4" x14ac:dyDescent="0.25">
      <c r="A7">
        <v>1000</v>
      </c>
      <c r="B7">
        <v>238</v>
      </c>
      <c r="C7">
        <v>500</v>
      </c>
      <c r="D7">
        <v>235</v>
      </c>
    </row>
    <row r="29" spans="3:3" ht="18.75" x14ac:dyDescent="0.25">
      <c r="C29" s="52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1CED-1DD1-4AFE-B259-B6F914B6E365}">
  <dimension ref="A1:I7"/>
  <sheetViews>
    <sheetView tabSelected="1" topLeftCell="A7" zoomScale="85" zoomScaleNormal="85" workbookViewId="0">
      <selection activeCell="P28" sqref="P28"/>
    </sheetView>
  </sheetViews>
  <sheetFormatPr baseColWidth="10" defaultRowHeight="15" x14ac:dyDescent="0.25"/>
  <cols>
    <col min="1" max="1" width="27.5703125" bestFit="1" customWidth="1"/>
  </cols>
  <sheetData>
    <row r="1" spans="1:9" x14ac:dyDescent="0.25">
      <c r="A1" s="48" t="s">
        <v>32</v>
      </c>
      <c r="B1" s="49">
        <v>2.2000000000000002</v>
      </c>
      <c r="C1" s="49">
        <v>3.6</v>
      </c>
      <c r="D1" s="49">
        <v>6.8</v>
      </c>
      <c r="E1" s="50">
        <v>11</v>
      </c>
      <c r="F1" s="50">
        <v>51</v>
      </c>
      <c r="G1" s="50">
        <v>82</v>
      </c>
      <c r="H1" s="50">
        <v>100</v>
      </c>
      <c r="I1" s="50">
        <v>110</v>
      </c>
    </row>
    <row r="2" spans="1:9" x14ac:dyDescent="0.25">
      <c r="A2" s="48" t="s">
        <v>33</v>
      </c>
      <c r="B2" s="51">
        <v>0.29399999999999998</v>
      </c>
      <c r="C2" s="51">
        <v>0.29499999999999998</v>
      </c>
      <c r="D2" s="51">
        <v>0.29399999999999998</v>
      </c>
      <c r="E2" s="51">
        <v>0.29699999999999999</v>
      </c>
      <c r="F2" s="51">
        <v>0.29399999999999998</v>
      </c>
      <c r="G2" s="51">
        <v>0.29799999999999999</v>
      </c>
      <c r="H2" s="51">
        <v>0.29399999999999998</v>
      </c>
      <c r="I2" s="51">
        <v>0.29599999999999999</v>
      </c>
    </row>
    <row r="3" spans="1:9" x14ac:dyDescent="0.25">
      <c r="A3" s="48" t="s">
        <v>34</v>
      </c>
      <c r="B3" s="47">
        <v>0.29399999999999998</v>
      </c>
      <c r="C3" s="47">
        <v>0.47599999999999998</v>
      </c>
      <c r="D3" s="47">
        <v>0.91200000000000003</v>
      </c>
      <c r="E3" s="47">
        <v>1.46</v>
      </c>
      <c r="F3" s="47">
        <v>6.84</v>
      </c>
      <c r="G3" s="47">
        <v>11</v>
      </c>
      <c r="H3" s="47">
        <v>12.8</v>
      </c>
      <c r="I3" s="47">
        <v>13.4</v>
      </c>
    </row>
    <row r="4" spans="1:9" x14ac:dyDescent="0.25">
      <c r="A4" s="48" t="s">
        <v>76</v>
      </c>
      <c r="B4" s="46">
        <f>B3/B2</f>
        <v>1</v>
      </c>
      <c r="C4" s="46">
        <f t="shared" ref="C4:I4" si="0">C3/C2</f>
        <v>1.6135593220338984</v>
      </c>
      <c r="D4" s="46">
        <f t="shared" si="0"/>
        <v>3.1020408163265309</v>
      </c>
      <c r="E4" s="46">
        <f t="shared" si="0"/>
        <v>4.9158249158249161</v>
      </c>
      <c r="F4" s="46">
        <f t="shared" si="0"/>
        <v>23.26530612244898</v>
      </c>
      <c r="G4" s="46">
        <f t="shared" si="0"/>
        <v>36.912751677852349</v>
      </c>
      <c r="H4" s="46">
        <f t="shared" si="0"/>
        <v>43.5374149659864</v>
      </c>
      <c r="I4" s="46">
        <f t="shared" si="0"/>
        <v>45.270270270270274</v>
      </c>
    </row>
    <row r="5" spans="1:9" x14ac:dyDescent="0.25">
      <c r="A5" s="48" t="s">
        <v>75</v>
      </c>
      <c r="B5" s="47">
        <f>(B1/2.2)</f>
        <v>1</v>
      </c>
      <c r="C5" s="47">
        <f>(C1/2.2)</f>
        <v>1.6363636363636362</v>
      </c>
      <c r="D5" s="47">
        <f t="shared" ref="D5:I5" si="1">(D1/2.2)</f>
        <v>3.0909090909090904</v>
      </c>
      <c r="E5" s="47">
        <f t="shared" si="1"/>
        <v>5</v>
      </c>
      <c r="F5" s="47">
        <f t="shared" si="1"/>
        <v>23.18181818181818</v>
      </c>
      <c r="G5" s="47">
        <f t="shared" si="1"/>
        <v>37.272727272727266</v>
      </c>
      <c r="H5" s="47">
        <f t="shared" si="1"/>
        <v>45.454545454545453</v>
      </c>
      <c r="I5" s="47">
        <f t="shared" si="1"/>
        <v>49.999999999999993</v>
      </c>
    </row>
    <row r="6" spans="1:9" x14ac:dyDescent="0.25">
      <c r="A6" s="48" t="s">
        <v>77</v>
      </c>
      <c r="B6" s="45">
        <f>20*LOG(B4)</f>
        <v>0</v>
      </c>
      <c r="C6" s="45">
        <f t="shared" ref="C6:I6" si="2">20*LOG(C4)</f>
        <v>4.1556987348466032</v>
      </c>
      <c r="D6" s="45">
        <f t="shared" si="2"/>
        <v>9.832950158325179</v>
      </c>
      <c r="E6" s="45">
        <f t="shared" si="2"/>
        <v>13.831928129344496</v>
      </c>
      <c r="F6" s="45">
        <f t="shared" si="2"/>
        <v>27.334175426159177</v>
      </c>
      <c r="G6" s="45">
        <f t="shared" si="2"/>
        <v>31.343528421639398</v>
      </c>
      <c r="H6" s="45">
        <f t="shared" si="2"/>
        <v>32.777252784714221</v>
      </c>
      <c r="I6" s="45">
        <f t="shared" si="2"/>
        <v>33.116261746117381</v>
      </c>
    </row>
    <row r="7" spans="1:9" x14ac:dyDescent="0.25">
      <c r="A7" s="48" t="s">
        <v>78</v>
      </c>
      <c r="B7" s="45">
        <f>20*LOG(B5)</f>
        <v>0</v>
      </c>
      <c r="C7" s="45">
        <f t="shared" ref="C7:I7" si="3">20*LOG(C5)</f>
        <v>4.2775963989016201</v>
      </c>
      <c r="D7" s="45">
        <f t="shared" si="3"/>
        <v>9.8017246376806</v>
      </c>
      <c r="E7" s="45">
        <f t="shared" si="3"/>
        <v>13.979400086720377</v>
      </c>
      <c r="F7" s="45">
        <f t="shared" si="3"/>
        <v>27.302949905514602</v>
      </c>
      <c r="G7" s="45">
        <f t="shared" si="3"/>
        <v>31.427823431230205</v>
      </c>
      <c r="H7" s="45">
        <f t="shared" si="3"/>
        <v>33.151546383555875</v>
      </c>
      <c r="I7" s="45">
        <f t="shared" si="3"/>
        <v>33.979400086720375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Messprotokoll V1</vt:lpstr>
      <vt:lpstr>tau</vt:lpstr>
      <vt:lpstr>Inverting OpAmp</vt:lpstr>
      <vt:lpstr>'Messprotokoll V1'!Druckbereich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</dc:creator>
  <cp:lastModifiedBy>Bastian Nagler</cp:lastModifiedBy>
  <dcterms:created xsi:type="dcterms:W3CDTF">2025-11-09T22:43:55Z</dcterms:created>
  <dcterms:modified xsi:type="dcterms:W3CDTF">2025-11-17T17:10:32Z</dcterms:modified>
</cp:coreProperties>
</file>